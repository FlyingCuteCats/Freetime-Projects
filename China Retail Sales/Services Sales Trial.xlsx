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<sst xmlns="http://schemas.openxmlformats.org/spreadsheetml/2006/main" count="19" uniqueCount="19">
  <si>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(m)</t>
  </si>
  <si>
    <t xml:space="preserve">Sales (acc)</t>
  </si>
  <si>
    <t xml:space="preserve">Sales (year of 2022 as 100)</t>
  </si>
  <si>
    <t xml:space="preserve">Sales (acc, year of 2022 as 100)</t>
  </si>
  <si>
    <t xml:space="preserve">YoY (m)</t>
  </si>
  <si>
    <t xml:space="preserve">YoY (acc)</t>
  </si>
  <si>
    <t xml:space="preserve">Trial Sales (acc)</t>
  </si>
  <si>
    <t xml:space="preserve">Trial Sales (m)</t>
  </si>
  <si>
    <t xml:space="preserve">Trial YoY (m)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</si>
  <si>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</si>
  <si>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</si>
  <si>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</si>
  <si>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</si>
  <si>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</si>
  <si>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e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</si>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</sst>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22" colorId="64" zoomScale="80" zoomScaleNormal="80" zoomScalePageLayoutView="100" workbookViewId="0">
      <selection pane="topLeft" activeCell="K44" activeCellId="0" sqref="K44"/>
    </sheetView>
  </sheetViews>
  <sheetFormatPr defaultColWidth="10.5078125" defaultRowHeight="15.75" customHeight="false" zeroHeight="false" outlineLevelRow="0" outlineLevelCol="0"/>
  <cols>
    <col collapsed="false" customWidth="true" hidden="false" outlineLevel="0" max="3" min="3" style="0" width="13.66"/>
    <col collapsed="false" customWidth="true" hidden="false" outlineLevel="0" max="4" min="4" style="0" width="24.11"/>
    <col collapsed="false" customWidth="true" hidden="false" outlineLevel="0" max="5" min="5" style="0" width="27.94"/>
    <col collapsed="false" customWidth="true" hidden="false" outlineLevel="0" max="9" min="9" style="0" width="14"/>
    <col collapsed="false" customWidth="true" hidden="false" outlineLevel="0" max="10" min="10" style="0" width="12.5"/>
  </cols>
  <sheetData>
    <row r="1" customFormat="false" ht="15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I1" s="0" t="s">
        <v>6</v>
      </c>
      <c r="J1" s="0" t="s">
        <v>7</v>
      </c>
      <c r="K1" s="0" t="s">
        <v>8</v>
      </c>
    </row>
    <row r="2" customFormat="false" ht="15.75" hidden="false" customHeight="false" outlineLevel="0" collapsed="false">
      <c r="A2" s="1" t="n">
        <v>44562</v>
      </c>
      <c r="D2" s="0" t="n">
        <v>100</v>
      </c>
      <c r="E2" s="0" t="n">
        <f aca="false">SUM($D$2:D2)</f>
        <v>100</v>
      </c>
    </row>
    <row r="3" customFormat="false" ht="15.75" hidden="false" customHeight="false" outlineLevel="0" collapsed="false">
      <c r="A3" s="1" t="n">
        <v>44593</v>
      </c>
      <c r="D3" s="0" t="n">
        <v>100</v>
      </c>
      <c r="E3" s="0" t="n">
        <f aca="false">SUM($D$2:D3)</f>
        <v>200</v>
      </c>
    </row>
    <row r="4" customFormat="false" ht="15.75" hidden="false" customHeight="false" outlineLevel="0" collapsed="false">
      <c r="A4" s="1" t="n">
        <v>44621</v>
      </c>
      <c r="D4" s="0" t="n">
        <v>100</v>
      </c>
      <c r="E4" s="0" t="n">
        <f aca="false">SUM($D$2:D4)</f>
        <v>300</v>
      </c>
    </row>
    <row r="5" customFormat="false" ht="15.75" hidden="false" customHeight="false" outlineLevel="0" collapsed="false">
      <c r="A5" s="1" t="n">
        <v>44652</v>
      </c>
      <c r="D5" s="0" t="n">
        <v>100</v>
      </c>
      <c r="E5" s="0" t="n">
        <f aca="false">SUM($D$2:D5)</f>
        <v>400</v>
      </c>
    </row>
    <row r="6" customFormat="false" ht="15.75" hidden="false" customHeight="false" outlineLevel="0" collapsed="false">
      <c r="A6" s="1" t="n">
        <v>44682</v>
      </c>
      <c r="D6" s="0" t="n">
        <v>100</v>
      </c>
      <c r="E6" s="0" t="n">
        <f aca="false">SUM($D$2:D6)</f>
        <v>500</v>
      </c>
    </row>
    <row r="7" customFormat="false" ht="15.75" hidden="false" customHeight="false" outlineLevel="0" collapsed="false">
      <c r="A7" s="1" t="n">
        <v>44713</v>
      </c>
      <c r="D7" s="0" t="n">
        <v>100</v>
      </c>
      <c r="E7" s="0" t="n">
        <f aca="false">SUM($D$2:D7)</f>
        <v>600</v>
      </c>
    </row>
    <row r="8" customFormat="false" ht="15.75" hidden="false" customHeight="false" outlineLevel="0" collapsed="false">
      <c r="A8" s="1" t="n">
        <v>44743</v>
      </c>
      <c r="C8" s="0" t="n">
        <f aca="false">C21/(1+G21/100)</f>
        <v>83.1255195344971</v>
      </c>
      <c r="D8" s="0" t="n">
        <v>100</v>
      </c>
      <c r="E8" s="0" t="n">
        <f aca="false">SUM($D$2:D8)</f>
        <v>700</v>
      </c>
      <c r="H8" s="0" t="n">
        <f aca="false">(C21-C8)/11</f>
        <v>1.53404367868208</v>
      </c>
      <c r="I8" s="0" t="n">
        <v>83.1255195344971</v>
      </c>
    </row>
    <row r="9" customFormat="false" ht="15.75" hidden="false" customHeight="false" outlineLevel="0" collapsed="false">
      <c r="A9" s="1" t="n">
        <v>44774</v>
      </c>
      <c r="C9" s="0" t="s">
        <v>9</v>
      </c>
      <c r="D9" s="0" t="n">
        <v>100</v>
      </c>
      <c r="E9" s="0" t="n">
        <f aca="false">SUM($D$2:D9)</f>
        <v>800</v>
      </c>
      <c r="I9" s="0" t="n">
        <f aca="false">C8+H8</f>
        <v>84.6595632131792</v>
      </c>
      <c r="J9" s="0" t="n">
        <f aca="false">I9-I8</f>
        <v>1.53404367868208</v>
      </c>
    </row>
    <row r="10" customFormat="false" ht="15.75" hidden="false" customHeight="false" outlineLevel="0" collapsed="false">
      <c r="A10" s="1" t="n">
        <v>44805</v>
      </c>
      <c r="C10" s="0" t="s">
        <v>10</v>
      </c>
      <c r="D10" s="0" t="n">
        <v>100</v>
      </c>
      <c r="E10" s="0" t="n">
        <f aca="false">SUM($D$2:D10)</f>
        <v>900</v>
      </c>
      <c r="I10" s="0" t="n">
        <f aca="false">I9+H$8</f>
        <v>86.1936068918613</v>
      </c>
      <c r="J10" s="0" t="n">
        <f aca="false">I10-I9</f>
        <v>1.53404367868208</v>
      </c>
    </row>
    <row r="11" customFormat="false" ht="15.75" hidden="false" customHeight="false" outlineLevel="0" collapsed="false">
      <c r="A11" s="1" t="n">
        <v>44835</v>
      </c>
      <c r="C11" s="0" t="s">
        <v>11</v>
      </c>
      <c r="D11" s="0" t="n">
        <v>100</v>
      </c>
      <c r="E11" s="0" t="n">
        <f aca="false">SUM($D$2:D11)</f>
        <v>1000</v>
      </c>
      <c r="I11" s="0" t="n">
        <f aca="false">I10+H$8</f>
        <v>87.7276505705433</v>
      </c>
      <c r="J11" s="0" t="n">
        <f aca="false">I11-I10</f>
        <v>1.53404367868208</v>
      </c>
    </row>
    <row r="12" customFormat="false" ht="15.75" hidden="false" customHeight="false" outlineLevel="0" collapsed="false">
      <c r="A12" s="1" t="n">
        <v>44866</v>
      </c>
      <c r="C12" s="0" t="s">
        <v>12</v>
      </c>
      <c r="D12" s="0" t="n">
        <v>100</v>
      </c>
      <c r="E12" s="0" t="n">
        <f aca="false">SUM($D$2:D12)</f>
        <v>1100</v>
      </c>
      <c r="I12" s="0" t="n">
        <f aca="false">I11+H$8</f>
        <v>89.2616942492254</v>
      </c>
      <c r="J12" s="0" t="n">
        <f aca="false">I12-I11</f>
        <v>1.53404367868208</v>
      </c>
    </row>
    <row r="13" customFormat="false" ht="15.75" hidden="false" customHeight="false" outlineLevel="0" collapsed="false">
      <c r="A13" s="1" t="n">
        <v>44896</v>
      </c>
      <c r="C13" s="0" t="s">
        <v>13</v>
      </c>
      <c r="D13" s="0" t="n">
        <v>100</v>
      </c>
      <c r="E13" s="0" t="n">
        <f aca="false">SUM($D$2:D13)</f>
        <v>1200</v>
      </c>
      <c r="I13" s="0" t="n">
        <f aca="false">I12+H$8</f>
        <v>90.7957379279075</v>
      </c>
      <c r="J13" s="0" t="n">
        <f aca="false">I13-I12</f>
        <v>1.53404367868208</v>
      </c>
    </row>
    <row r="14" customFormat="false" ht="15.75" hidden="false" customHeight="false" outlineLevel="0" collapsed="false">
      <c r="A14" s="1"/>
    </row>
    <row r="15" customFormat="false" ht="15.75" hidden="false" customHeight="false" outlineLevel="0" collapsed="false">
      <c r="A15" s="1" t="n">
        <v>44927</v>
      </c>
      <c r="D15" s="0" t="n">
        <v>100</v>
      </c>
      <c r="E15" s="0" t="n">
        <f aca="false">SUM($D$15:D15)</f>
        <v>100</v>
      </c>
    </row>
    <row r="16" customFormat="false" ht="15.75" hidden="false" customHeight="false" outlineLevel="0" collapsed="false">
      <c r="A16" s="1" t="n">
        <v>44958</v>
      </c>
      <c r="C16" s="0" t="s">
        <v>14</v>
      </c>
      <c r="D16" s="0" t="n">
        <v>100</v>
      </c>
      <c r="E16" s="0" t="n">
        <f aca="false">SUM($D$15:D16)</f>
        <v>200</v>
      </c>
      <c r="I16" s="0" t="n">
        <f aca="false">I13+H$8</f>
        <v>92.3297816065896</v>
      </c>
    </row>
    <row r="17" customFormat="false" ht="15.75" hidden="false" customHeight="false" outlineLevel="0" collapsed="false">
      <c r="A17" s="1" t="n">
        <v>44986</v>
      </c>
      <c r="C17" s="0" t="s">
        <v>15</v>
      </c>
      <c r="D17" s="0" t="n">
        <v>100</v>
      </c>
      <c r="E17" s="0" t="n">
        <f aca="false">SUM($D$15:D17)</f>
        <v>300</v>
      </c>
      <c r="I17" s="0" t="n">
        <f aca="false">I16+H$8</f>
        <v>93.8638252852717</v>
      </c>
      <c r="J17" s="0" t="n">
        <f aca="false">I17-I16</f>
        <v>1.53404367868208</v>
      </c>
    </row>
    <row r="18" customFormat="false" ht="15.75" hidden="false" customHeight="false" outlineLevel="0" collapsed="false">
      <c r="A18" s="1" t="n">
        <v>45017</v>
      </c>
      <c r="C18" s="0" t="s">
        <v>16</v>
      </c>
      <c r="D18" s="0" t="n">
        <v>100</v>
      </c>
      <c r="E18" s="0" t="n">
        <f aca="false">SUM($D$15:D18)</f>
        <v>400</v>
      </c>
      <c r="I18" s="0" t="n">
        <f aca="false">I17+H$8</f>
        <v>95.3978689639537</v>
      </c>
      <c r="J18" s="0" t="n">
        <f aca="false">I18-I17</f>
        <v>1.53404367868208</v>
      </c>
    </row>
    <row r="19" customFormat="false" ht="15.75" hidden="false" customHeight="false" outlineLevel="0" collapsed="false">
      <c r="A19" s="1" t="n">
        <v>45047</v>
      </c>
      <c r="C19" s="0" t="s">
        <v>17</v>
      </c>
      <c r="D19" s="0" t="n">
        <v>100</v>
      </c>
      <c r="E19" s="0" t="n">
        <f aca="false">SUM($D$15:D19)</f>
        <v>500</v>
      </c>
      <c r="I19" s="0" t="n">
        <f aca="false">I18+H$8</f>
        <v>96.9319126426358</v>
      </c>
      <c r="J19" s="0" t="n">
        <f aca="false">I19-I18</f>
        <v>1.53404367868208</v>
      </c>
    </row>
    <row r="20" customFormat="false" ht="15.75" hidden="false" customHeight="false" outlineLevel="0" collapsed="false">
      <c r="A20" s="1" t="n">
        <v>45078</v>
      </c>
      <c r="C20" s="0" t="s">
        <v>18</v>
      </c>
      <c r="D20" s="0" t="n">
        <v>100</v>
      </c>
      <c r="E20" s="0" t="n">
        <f aca="false">SUM($D$15:D20)</f>
        <v>600</v>
      </c>
      <c r="I20" s="0" t="n">
        <f aca="false">I19+H$8</f>
        <v>98.4659563213179</v>
      </c>
      <c r="J20" s="0" t="n">
        <f aca="false">I20-I19</f>
        <v>1.53404367868208</v>
      </c>
    </row>
    <row r="21" customFormat="false" ht="15.75" hidden="false" customHeight="false" outlineLevel="0" collapsed="false">
      <c r="A21" s="1" t="n">
        <v>45108</v>
      </c>
      <c r="C21" s="0" t="n">
        <v>100</v>
      </c>
      <c r="D21" s="0" t="n">
        <v>100</v>
      </c>
      <c r="E21" s="0" t="n">
        <f aca="false">E8*(1+G21/100)</f>
        <v>842.1</v>
      </c>
      <c r="G21" s="0" t="n">
        <v>20.3</v>
      </c>
      <c r="I21" s="0" t="n">
        <v>100</v>
      </c>
      <c r="J21" s="0" t="n">
        <f aca="false">I21-I20</f>
        <v>1.5340436786821</v>
      </c>
    </row>
    <row r="22" customFormat="false" ht="15.75" hidden="false" customHeight="false" outlineLevel="0" collapsed="false">
      <c r="A22" s="1" t="n">
        <v>45139</v>
      </c>
      <c r="C22" s="0" t="str">
        <f aca="false">_xlfn.CONCAT(C9,"*",VALUE(1+G22/100))</f>
        <v>f*1.194</v>
      </c>
      <c r="D22" s="0" t="n">
        <f aca="false">E22-E21</f>
        <v>113.1</v>
      </c>
      <c r="E22" s="0" t="n">
        <f aca="false">E9*(1+G22/100)</f>
        <v>955.2</v>
      </c>
      <c r="G22" s="0" t="n">
        <v>19.4</v>
      </c>
      <c r="I22" s="0" t="n">
        <f aca="false">I9*(1+G22/100)</f>
        <v>101.083518476536</v>
      </c>
      <c r="J22" s="0" t="n">
        <f aca="false">I22-I21</f>
        <v>1.08351847653593</v>
      </c>
      <c r="K22" s="0" t="n">
        <f aca="false">(J22-J9)/J9*100</f>
        <v>-29.3684729064042</v>
      </c>
    </row>
    <row r="23" customFormat="false" ht="15.75" hidden="false" customHeight="false" outlineLevel="0" collapsed="false">
      <c r="A23" s="1" t="n">
        <v>45170</v>
      </c>
      <c r="C23" s="0" t="str">
        <f aca="false">_xlfn.CONCAT(C10,"*",VALUE(1+G23/100))</f>
        <v>g*1.189</v>
      </c>
      <c r="D23" s="0" t="n">
        <f aca="false">E23-E22</f>
        <v>114.9</v>
      </c>
      <c r="E23" s="0" t="n">
        <f aca="false">E10*(1+G23/100)</f>
        <v>1070.1</v>
      </c>
      <c r="G23" s="0" t="n">
        <v>18.9</v>
      </c>
      <c r="I23" s="0" t="n">
        <f aca="false">I10*(1+G23/100)</f>
        <v>102.484198594423</v>
      </c>
      <c r="J23" s="0" t="n">
        <f aca="false">I23-I22</f>
        <v>1.40068011788711</v>
      </c>
      <c r="K23" s="0" t="n">
        <f aca="false">(J23-J10)/J10*100</f>
        <v>-8.69359605911289</v>
      </c>
    </row>
    <row r="24" customFormat="false" ht="15.75" hidden="false" customHeight="false" outlineLevel="0" collapsed="false">
      <c r="A24" s="1" t="n">
        <v>45200</v>
      </c>
      <c r="C24" s="0" t="str">
        <f aca="false">_xlfn.CONCAT(C11,"*",VALUE(1+G24/100))</f>
        <v>h*1.19</v>
      </c>
      <c r="D24" s="0" t="n">
        <f aca="false">E24-E23</f>
        <v>119.9</v>
      </c>
      <c r="E24" s="0" t="n">
        <f aca="false">E11*(1+G24/100)</f>
        <v>1190</v>
      </c>
      <c r="G24" s="0" t="n">
        <v>19</v>
      </c>
      <c r="I24" s="0" t="n">
        <f aca="false">I11*(1+G24/100)</f>
        <v>104.395904178947</v>
      </c>
      <c r="J24" s="0" t="n">
        <f aca="false">I24-I23</f>
        <v>1.91170558452353</v>
      </c>
      <c r="K24" s="0" t="n">
        <f aca="false">(J24-J11)/J11*100</f>
        <v>24.6187192118222</v>
      </c>
    </row>
    <row r="25" customFormat="false" ht="15.75" hidden="false" customHeight="false" outlineLevel="0" collapsed="false">
      <c r="A25" s="1" t="n">
        <v>45231</v>
      </c>
      <c r="C25" s="0" t="str">
        <f aca="false">_xlfn.CONCAT(C12,"*",VALUE(1+G25/100))</f>
        <v>i*1.195</v>
      </c>
      <c r="D25" s="0" t="n">
        <f aca="false">E25-E24</f>
        <v>124.5</v>
      </c>
      <c r="E25" s="0" t="n">
        <f aca="false">E12*(1+G25/100)</f>
        <v>1314.5</v>
      </c>
      <c r="G25" s="0" t="n">
        <v>19.5</v>
      </c>
      <c r="I25" s="0" t="n">
        <f aca="false">I12*(1+G25/100)</f>
        <v>106.667724627824</v>
      </c>
      <c r="J25" s="0" t="n">
        <f aca="false">I25-I24</f>
        <v>2.2718204488778</v>
      </c>
      <c r="K25" s="0" t="n">
        <f aca="false">(J25-J12)/J12*100</f>
        <v>48.0935960591133</v>
      </c>
    </row>
    <row r="26" customFormat="false" ht="15.75" hidden="false" customHeight="false" outlineLevel="0" collapsed="false">
      <c r="A26" s="1" t="n">
        <v>45261</v>
      </c>
      <c r="C26" s="0" t="str">
        <f aca="false">_xlfn.CONCAT(C13,"*",VALUE(1+G26/100))</f>
        <v>j*1.2</v>
      </c>
      <c r="D26" s="0" t="n">
        <f aca="false">E26-E25</f>
        <v>125.5</v>
      </c>
      <c r="E26" s="0" t="n">
        <f aca="false">E13*(1+G26/100)</f>
        <v>1440</v>
      </c>
      <c r="G26" s="0" t="n">
        <v>20</v>
      </c>
      <c r="I26" s="0" t="n">
        <f aca="false">I13*(1+G26/100)</f>
        <v>108.954885513489</v>
      </c>
      <c r="J26" s="0" t="n">
        <f aca="false">I26-I25</f>
        <v>2.28716088566462</v>
      </c>
      <c r="K26" s="0" t="n">
        <f aca="false">(J26-J13)/J13*100</f>
        <v>49.0935960591129</v>
      </c>
    </row>
    <row r="27" customFormat="false" ht="15.75" hidden="false" customHeight="false" outlineLevel="0" collapsed="false">
      <c r="A27" s="1"/>
    </row>
    <row r="28" customFormat="false" ht="15.75" hidden="false" customHeight="false" outlineLevel="0" collapsed="false">
      <c r="A28" s="1" t="n">
        <v>45292</v>
      </c>
      <c r="D28" s="0" t="n">
        <v>100</v>
      </c>
      <c r="E28" s="0" t="n">
        <f aca="false">E15*(1+G28/100)</f>
        <v>100</v>
      </c>
    </row>
    <row r="29" customFormat="false" ht="15.75" hidden="false" customHeight="false" outlineLevel="0" collapsed="false">
      <c r="A29" s="1" t="n">
        <v>45323</v>
      </c>
      <c r="C29" s="0" t="str">
        <f aca="false">_xlfn.CONCAT(C16,"*",VALUE(1+G29/100))</f>
        <v>e*1.123</v>
      </c>
      <c r="D29" s="0" t="n">
        <f aca="false">E29-E28</f>
        <v>124.6</v>
      </c>
      <c r="E29" s="0" t="n">
        <f aca="false">E16*(1+G29/100)</f>
        <v>224.6</v>
      </c>
      <c r="G29" s="0" t="n">
        <v>12.3</v>
      </c>
      <c r="I29" s="0" t="n">
        <f aca="false">I16*(1+G29/100)</f>
        <v>103.6863447442</v>
      </c>
    </row>
    <row r="30" customFormat="false" ht="15.75" hidden="false" customHeight="false" outlineLevel="0" collapsed="false">
      <c r="A30" s="1" t="n">
        <v>45352</v>
      </c>
      <c r="C30" s="0" t="str">
        <f aca="false">_xlfn.CONCAT(C17,"*",VALUE(1+G30/100))</f>
        <v>d*1.1</v>
      </c>
      <c r="D30" s="0" t="n">
        <f aca="false">E30-E29</f>
        <v>105.4</v>
      </c>
      <c r="E30" s="0" t="n">
        <f aca="false">E17*(1+G30/100)</f>
        <v>330</v>
      </c>
      <c r="G30" s="0" t="n">
        <v>10</v>
      </c>
      <c r="I30" s="0" t="n">
        <f aca="false">I17*(1+G30/100)</f>
        <v>103.250207813799</v>
      </c>
      <c r="J30" s="0" t="n">
        <f aca="false">I30-I29</f>
        <v>-0.436136930401261</v>
      </c>
      <c r="K30" s="0" t="n">
        <f aca="false">(J30-J17)/J17*100</f>
        <v>-128.430541871921</v>
      </c>
    </row>
    <row r="31" customFormat="false" ht="15.75" hidden="false" customHeight="false" outlineLevel="0" collapsed="false">
      <c r="A31" s="1" t="n">
        <v>45383</v>
      </c>
      <c r="C31" s="0" t="str">
        <f aca="false">_xlfn.CONCAT(C18,"*",VALUE(1+G31/100))</f>
        <v>c*1.084</v>
      </c>
      <c r="D31" s="0" t="n">
        <f aca="false">E31-E30</f>
        <v>103.6</v>
      </c>
      <c r="E31" s="0" t="n">
        <f aca="false">E18*(1+G31/100)</f>
        <v>433.6</v>
      </c>
      <c r="G31" s="0" t="n">
        <v>8.4</v>
      </c>
      <c r="I31" s="0" t="n">
        <f aca="false">I18*(1+G31/100)</f>
        <v>103.411289956926</v>
      </c>
      <c r="J31" s="0" t="n">
        <f aca="false">I31-I30</f>
        <v>0.161082143127018</v>
      </c>
      <c r="K31" s="0" t="n">
        <f aca="false">(J31-J18)/J18*100</f>
        <v>-89.4995073891634</v>
      </c>
    </row>
    <row r="32" customFormat="false" ht="15.75" hidden="false" customHeight="false" outlineLevel="0" collapsed="false">
      <c r="A32" s="1" t="n">
        <v>45413</v>
      </c>
      <c r="C32" s="0" t="str">
        <f aca="false">_xlfn.CONCAT(C19,"*",VALUE(1+G32/100))</f>
        <v>b*1.079</v>
      </c>
      <c r="D32" s="0" t="n">
        <f aca="false">E32-E31</f>
        <v>105.9</v>
      </c>
      <c r="E32" s="0" t="n">
        <f aca="false">E19*(1+G32/100)</f>
        <v>539.5</v>
      </c>
      <c r="G32" s="0" t="n">
        <v>7.9</v>
      </c>
      <c r="I32" s="0" t="n">
        <f aca="false">I19*(1+G32/100)</f>
        <v>104.589533741404</v>
      </c>
      <c r="J32" s="0" t="n">
        <f aca="false">I32-I31</f>
        <v>1.1782437844782</v>
      </c>
      <c r="K32" s="0" t="n">
        <f aca="false">(J32-J19)/J19*100</f>
        <v>-23.1935960591133</v>
      </c>
    </row>
    <row r="33" customFormat="false" ht="15.75" hidden="false" customHeight="false" outlineLevel="0" collapsed="false">
      <c r="A33" s="1" t="n">
        <v>45444</v>
      </c>
      <c r="C33" s="0" t="str">
        <f aca="false">_xlfn.CONCAT(C20,"*",VALUE(1+G33/100))</f>
        <v>a*1.075</v>
      </c>
      <c r="D33" s="0" t="n">
        <f aca="false">E33-E32</f>
        <v>105.5</v>
      </c>
      <c r="E33" s="0" t="n">
        <f aca="false">E20*(1+G33/100)</f>
        <v>645</v>
      </c>
      <c r="G33" s="0" t="n">
        <v>7.5</v>
      </c>
      <c r="I33" s="0" t="n">
        <f aca="false">I20*(1+G33/100)</f>
        <v>105.850903045417</v>
      </c>
      <c r="J33" s="0" t="n">
        <f aca="false">I33-I32</f>
        <v>1.26136930401269</v>
      </c>
      <c r="K33" s="0" t="n">
        <f aca="false">(J33-J20)/J20*100</f>
        <v>-17.774876847291</v>
      </c>
    </row>
    <row r="34" customFormat="false" ht="15.75" hidden="false" customHeight="false" outlineLevel="0" collapsed="false">
      <c r="A34" s="1" t="n">
        <v>45474</v>
      </c>
      <c r="C34" s="0" t="n">
        <f aca="false">C21*(1+G34/100)</f>
        <v>107.2</v>
      </c>
      <c r="D34" s="0" t="n">
        <f aca="false">E34-E33</f>
        <v>257.7312</v>
      </c>
      <c r="E34" s="0" t="n">
        <f aca="false">E21*(1+G34/100)</f>
        <v>902.7312</v>
      </c>
      <c r="G34" s="0" t="n">
        <v>7.2</v>
      </c>
      <c r="I34" s="0" t="n">
        <f aca="false">I21*(1+G34/100)</f>
        <v>107.2</v>
      </c>
      <c r="J34" s="0" t="n">
        <f aca="false">I34-I33</f>
        <v>1.34909695458326</v>
      </c>
      <c r="K34" s="0" t="n">
        <f aca="false">(J34-J21)/J21*100</f>
        <v>-12.0561576354674</v>
      </c>
    </row>
    <row r="35" customFormat="false" ht="15.75" hidden="false" customHeight="false" outlineLevel="0" collapsed="false">
      <c r="A35" s="1" t="n">
        <v>45505</v>
      </c>
      <c r="D35" s="0" t="n">
        <f aca="false">E35-E34</f>
        <v>118.3776</v>
      </c>
      <c r="E35" s="0" t="n">
        <f aca="false">E22*(1+G35/100)</f>
        <v>1021.1088</v>
      </c>
      <c r="G35" s="0" t="n">
        <v>6.9</v>
      </c>
    </row>
    <row r="36" customFormat="false" ht="15.75" hidden="false" customHeight="false" outlineLevel="0" collapsed="false">
      <c r="A36" s="1" t="n">
        <v>45536</v>
      </c>
      <c r="D36" s="0" t="n">
        <f aca="false">E36-E35</f>
        <v>120.6879</v>
      </c>
      <c r="E36" s="0" t="n">
        <f aca="false">E23*(1+G36/100)</f>
        <v>1141.7967</v>
      </c>
      <c r="G36" s="0" t="n">
        <v>6.7</v>
      </c>
    </row>
    <row r="37" customFormat="false" ht="15.75" hidden="false" customHeight="false" outlineLevel="0" collapsed="false">
      <c r="A37" s="1" t="n">
        <v>45566</v>
      </c>
      <c r="D37" s="0" t="n">
        <f aca="false">E37-E36</f>
        <v>125.5533</v>
      </c>
      <c r="E37" s="0" t="n">
        <f aca="false">E24*(1+G37/100)</f>
        <v>1267.35</v>
      </c>
      <c r="G37" s="0" t="n">
        <v>6.5</v>
      </c>
    </row>
    <row r="38" customFormat="false" ht="15.75" hidden="false" customHeight="false" outlineLevel="0" collapsed="false">
      <c r="A38" s="1" t="n">
        <v>45597</v>
      </c>
      <c r="D38" s="0" t="n">
        <f aca="false">E38-E37</f>
        <v>131.278</v>
      </c>
      <c r="E38" s="0" t="n">
        <f aca="false">E25*(1+G38/100)</f>
        <v>1398.628</v>
      </c>
      <c r="G38" s="0" t="n">
        <v>6.4</v>
      </c>
    </row>
    <row r="39" customFormat="false" ht="15.75" hidden="false" customHeight="false" outlineLevel="0" collapsed="false">
      <c r="A39" s="1" t="n">
        <v>45627</v>
      </c>
      <c r="D39" s="0" t="n">
        <f aca="false">E39-E38</f>
        <v>130.652</v>
      </c>
      <c r="E39" s="0" t="n">
        <f aca="false">E26*(1+G39/100)</f>
        <v>1529.28</v>
      </c>
      <c r="G39" s="0" t="n">
        <v>6.2</v>
      </c>
    </row>
    <row r="41" customFormat="false" ht="15.75" hidden="false" customHeight="false" outlineLevel="0" collapsed="false">
      <c r="A41" s="1" t="n">
        <v>45658</v>
      </c>
      <c r="D41" s="0" t="n">
        <v>100</v>
      </c>
      <c r="E41" s="0" t="n">
        <f aca="false">E28*(1+G41/100)</f>
        <v>100</v>
      </c>
    </row>
    <row r="42" customFormat="false" ht="15.75" hidden="false" customHeight="false" outlineLevel="0" collapsed="false">
      <c r="A42" s="1" t="n">
        <v>45689</v>
      </c>
      <c r="D42" s="0" t="n">
        <f aca="false">E42-E41</f>
        <v>135.6054</v>
      </c>
      <c r="E42" s="0" t="n">
        <f aca="false">E29*(1+G42/100)</f>
        <v>235.6054</v>
      </c>
      <c r="G42" s="0" t="n">
        <v>4.9</v>
      </c>
    </row>
    <row r="43" customFormat="false" ht="15.75" hidden="false" customHeight="false" outlineLevel="0" collapsed="false">
      <c r="A43" s="1" t="n">
        <v>45717</v>
      </c>
      <c r="D43" s="0" t="n">
        <f aca="false">E43-E42</f>
        <v>110.8946</v>
      </c>
      <c r="E43" s="0" t="n">
        <f aca="false">E30*(1+G43/100)</f>
        <v>346.5</v>
      </c>
      <c r="G43" s="0" t="n">
        <v>5</v>
      </c>
    </row>
    <row r="44" customFormat="false" ht="15.75" hidden="false" customHeight="false" outlineLevel="0" collapsed="false">
      <c r="A44" s="1" t="n">
        <v>45748</v>
      </c>
      <c r="D44" s="0" t="n">
        <f aca="false">E44-E43</f>
        <v>109.2136</v>
      </c>
      <c r="E44" s="0" t="n">
        <f aca="false">E31*(1+G44/100)</f>
        <v>455.7136</v>
      </c>
      <c r="G44" s="0" t="n">
        <v>5.1</v>
      </c>
    </row>
    <row r="45" customFormat="false" ht="15.75" hidden="false" customHeight="false" outlineLevel="0" collapsed="false">
      <c r="A45" s="1" t="n">
        <v>45778</v>
      </c>
      <c r="D45" s="0" t="n">
        <f aca="false">E45-E44</f>
        <v>111.8404</v>
      </c>
      <c r="E45" s="0" t="n">
        <f aca="false">E32*(1+G45/100)</f>
        <v>567.554</v>
      </c>
      <c r="G45" s="0" t="n">
        <v>5.2</v>
      </c>
    </row>
    <row r="46" customFormat="false" ht="15.75" hidden="false" customHeight="false" outlineLevel="0" collapsed="false">
      <c r="A46" s="1" t="n">
        <v>45809</v>
      </c>
      <c r="D46" s="0" t="n">
        <f aca="false">E46-E45</f>
        <v>111.631</v>
      </c>
      <c r="E46" s="0" t="n">
        <f aca="false">E33*(1+G46/100)</f>
        <v>679.185</v>
      </c>
      <c r="G46" s="0" t="n">
        <v>5.3</v>
      </c>
    </row>
    <row r="47" customFormat="false" ht="15.75" hidden="false" customHeight="false" outlineLevel="0" collapsed="false">
      <c r="A47" s="1" t="n">
        <v>45839</v>
      </c>
      <c r="D47" s="0" t="n">
        <f aca="false">E47-E46</f>
        <v>270.4882224</v>
      </c>
      <c r="E47" s="0" t="n">
        <f aca="false">E34*(1+G47/100)</f>
        <v>949.6732224</v>
      </c>
      <c r="G47" s="0" t="n">
        <v>5.2</v>
      </c>
    </row>
    <row r="48" customFormat="false" ht="15.75" hidden="false" customHeight="false" outlineLevel="0" collapsed="false">
      <c r="A48" s="1" t="n">
        <v>45870</v>
      </c>
      <c r="D48" s="0" t="n">
        <f aca="false">E48-E47</f>
        <v>123.5121264</v>
      </c>
      <c r="E48" s="0" t="n">
        <f aca="false">E35*(1+G48/100)</f>
        <v>1073.1853488</v>
      </c>
      <c r="G48" s="0" t="n">
        <v>5.1</v>
      </c>
    </row>
    <row r="49" customFormat="false" ht="15.75" hidden="false" customHeight="false" outlineLevel="0" collapsed="false">
      <c r="A49" s="1" t="n">
        <v>45901</v>
      </c>
      <c r="D49" s="0" t="n">
        <f aca="false">E49-E48</f>
        <v>127.9847796</v>
      </c>
      <c r="E49" s="0" t="n">
        <f aca="false">E36*(1+G49/100)</f>
        <v>1201.1701284</v>
      </c>
      <c r="G49" s="0" t="n">
        <v>5.2</v>
      </c>
    </row>
    <row r="50" customFormat="false" ht="15.75" hidden="false" customHeight="false" outlineLevel="0" collapsed="false">
      <c r="A50" s="1" t="n">
        <v>45931</v>
      </c>
      <c r="D50" s="0" t="n">
        <f aca="false">E50-E49</f>
        <v>133.3494216</v>
      </c>
      <c r="E50" s="0" t="n">
        <f aca="false">E37*(1+G50/100)</f>
        <v>1334.51955</v>
      </c>
      <c r="G50" s="0" t="n">
        <v>5.3</v>
      </c>
    </row>
    <row r="51" customFormat="false" ht="15.75" hidden="false" customHeight="false" outlineLevel="0" collapsed="false">
      <c r="A51" s="1" t="n">
        <v>45962</v>
      </c>
      <c r="D51" s="0" t="n">
        <f aca="false">E51-E50</f>
        <v>139.634362</v>
      </c>
      <c r="E51" s="0" t="n">
        <f aca="false">E38*(1+G51/100)</f>
        <v>1474.153912</v>
      </c>
      <c r="G51" s="0" t="n">
        <v>5.4</v>
      </c>
    </row>
    <row r="52" customFormat="false" ht="15.75" hidden="false" customHeight="false" outlineLevel="0" collapsed="false">
      <c r="A52" s="1" t="n">
        <v>45992</v>
      </c>
      <c r="D52" s="0" t="n">
        <f aca="false">E52-E51</f>
        <v>139.236488</v>
      </c>
      <c r="E52" s="0" t="n">
        <f aca="false">E39*(1+G52/100)</f>
        <v>1613.3904</v>
      </c>
      <c r="G52" s="0" t="n">
        <v>5.5</v>
      </c>
    </row>
    <row r="54" customFormat="false" ht="15.75" hidden="false" customHeight="false" outlineLevel="0" collapsed="false">
      <c r="A54" s="1" t="n">
        <v>45658</v>
      </c>
      <c r="D54" s="0" t="n">
        <v>100</v>
      </c>
      <c r="E54" s="0" t="n">
        <f aca="false">E41*(1+G54/100)</f>
        <v>100</v>
      </c>
    </row>
    <row r="55" customFormat="false" ht="15.75" hidden="false" customHeight="false" outlineLevel="0" collapsed="false">
      <c r="A55" s="1" t="n">
        <v>45689</v>
      </c>
      <c r="D55" s="0" t="n">
        <f aca="false">E55-E54</f>
        <v>148.7993024</v>
      </c>
      <c r="E55" s="0" t="n">
        <f aca="false">E42*(1+G55/100)</f>
        <v>248.7993024</v>
      </c>
      <c r="G55" s="0" t="n">
        <v>5.6</v>
      </c>
    </row>
    <row r="56" customFormat="false" ht="15.75" hidden="false" customHeight="false" outlineLevel="0" collapsed="false">
      <c r="A56" s="1" t="n">
        <v>45717</v>
      </c>
      <c r="D56" s="0" t="n">
        <f aca="false">E56-E55</f>
        <v>116.7581976</v>
      </c>
      <c r="E56" s="0" t="n">
        <f aca="false">E43*(1+G56/100)</f>
        <v>365.5575</v>
      </c>
      <c r="G56" s="0" t="n">
        <v>5.5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2024-08-18T11:59:08Z</dcterms:created>
  <dc:creator>User</dc:creator>
  <dc:description/>
  <dc:language>en-IE</dc:language>
  <cp:lastModifiedBy/>
  <dcterms:modified xsi:type="dcterms:W3CDTF">2026-04-28T22:48:30Z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